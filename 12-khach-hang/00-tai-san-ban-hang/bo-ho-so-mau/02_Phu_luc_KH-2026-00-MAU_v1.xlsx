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365edu738013-my.sharepoint.com/personal/tuan_pham_m365edu738013_onmicrosoft_com/Documents/Desktop/NHG/iPMS - Copy/iPMS - Copy/12-khach-hang/00-tai-san-ban-hang/bo-ho-so-mau/"/>
    </mc:Choice>
  </mc:AlternateContent>
  <xr:revisionPtr revIDLastSave="3" documentId="11_5DADC165DF13251EB994B226E3DB3B3D16B885B9" xr6:coauthVersionLast="47" xr6:coauthVersionMax="47" xr10:uidLastSave="{DC22F119-639B-4952-85D4-8D6D577E460C}"/>
  <bookViews>
    <workbookView xWindow="-98" yWindow="-98" windowWidth="27076" windowHeight="16276" tabRatio="830" activeTab="4" xr2:uid="{00000000-000D-0000-FFFF-FFFF00000000}"/>
  </bookViews>
  <sheets>
    <sheet name="00 · Hướng dẫn đọc" sheetId="1" r:id="rId1"/>
    <sheet name="01 · Danh mục Yêu cầu" sheetId="2" r:id="rId2"/>
    <sheet name="02 · Chốt ưu tiên" sheetId="3" r:id="rId3"/>
    <sheet name="03 · Khoảng trống" sheetId="4" r:id="rId4"/>
    <sheet name="04 · Kiến trúc Tác vụ" sheetId="5" r:id="rId5"/>
    <sheet name="05 · Hệ nguồn dữ liệu" sheetId="6" r:id="rId6"/>
    <sheet name="06 · Câu hỏi mở" sheetId="7" r:id="rId7"/>
  </sheets>
  <definedNames>
    <definedName name="_xlnm._FilterDatabase" localSheetId="1" hidden="1">'01 · Danh mục Yêu cầu'!$A$1:$J$8</definedName>
    <definedName name="_xlnm._FilterDatabase" localSheetId="4" hidden="1">'04 · Kiến trúc Tác vụ'!$A$5:$H$48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3" l="1"/>
  <c r="B26" i="3"/>
  <c r="B25" i="3"/>
  <c r="B24" i="3"/>
  <c r="E19" i="3"/>
  <c r="D19" i="3"/>
  <c r="C19" i="3"/>
  <c r="B19" i="3"/>
  <c r="F19" i="3" s="1"/>
  <c r="E18" i="3"/>
  <c r="D18" i="3"/>
  <c r="C18" i="3"/>
  <c r="B18" i="3"/>
  <c r="F18" i="3" s="1"/>
  <c r="E17" i="3"/>
  <c r="D17" i="3"/>
  <c r="C17" i="3"/>
  <c r="B17" i="3"/>
  <c r="F17" i="3" s="1"/>
  <c r="E16" i="3"/>
  <c r="D16" i="3"/>
  <c r="C16" i="3"/>
  <c r="B16" i="3"/>
  <c r="F16" i="3" s="1"/>
  <c r="E15" i="3"/>
  <c r="D15" i="3"/>
  <c r="C15" i="3"/>
  <c r="B15" i="3"/>
  <c r="F15" i="3" s="1"/>
  <c r="E10" i="3"/>
  <c r="D10" i="3"/>
  <c r="C10" i="3"/>
  <c r="B10" i="3"/>
  <c r="F10" i="3" s="1"/>
  <c r="E9" i="3"/>
  <c r="D9" i="3"/>
  <c r="C9" i="3"/>
  <c r="B9" i="3"/>
  <c r="F9" i="3" s="1"/>
  <c r="E8" i="3"/>
  <c r="D8" i="3"/>
  <c r="C8" i="3"/>
  <c r="B8" i="3"/>
  <c r="F8" i="3" s="1"/>
  <c r="E7" i="3"/>
  <c r="D7" i="3"/>
  <c r="C7" i="3"/>
  <c r="B7" i="3"/>
  <c r="F7" i="3" s="1"/>
  <c r="E6" i="3"/>
  <c r="E11" i="3" s="1"/>
  <c r="D6" i="3"/>
  <c r="C6" i="3"/>
  <c r="B6" i="3"/>
  <c r="F6" i="3" s="1"/>
  <c r="E5" i="3"/>
  <c r="D5" i="3"/>
  <c r="D11" i="3" s="1"/>
  <c r="C5" i="3"/>
  <c r="C11" i="3" s="1"/>
  <c r="B5" i="3"/>
  <c r="B11" i="3" l="1"/>
  <c r="F5" i="3"/>
  <c r="F11" i="3" s="1"/>
</calcChain>
</file>

<file path=xl/sharedStrings.xml><?xml version="1.0" encoding="utf-8"?>
<sst xmlns="http://schemas.openxmlformats.org/spreadsheetml/2006/main" count="217" uniqueCount="155">
  <si>
    <t>PHỤ LỤC MA TRẬN YÊU CẦU</t>
  </si>
  <si>
    <t>TỔ CHỨC MẪU · KH-2026-00-MAU · v1 · 2026-07-28</t>
  </si>
  <si>
    <t>MẬT — chỉ lưu hành giữa hai bên</t>
  </si>
  <si>
    <t>Quý vị cần làm gì với tệp này</t>
  </si>
  <si>
    <t>Sheet 01 · Danh mục Yêu cầu</t>
  </si>
  <si>
    <t>Rà từng dòng. Ghi nhận xét vào cột “Ý kiến của Quý vị” và chọn ở cột “Kết luận”.</t>
  </si>
  <si>
    <t>Sheet 02 · Chốt ưu tiên</t>
  </si>
  <si>
    <t>Bảng đếm tự động theo lựa chọn ở sheet 01 — không cần nhập tay.</t>
  </si>
  <si>
    <t>Sheet 03 · Khoảng trống</t>
  </si>
  <si>
    <t>Những yêu cầu nền tảng chưa đáp ứng ngay và phương án đề xuất.</t>
  </si>
  <si>
    <t>Sheet 04 · Kiến trúc Tác vụ</t>
  </si>
  <si>
    <t>Bổ sung danh mục công việc của từng phòng, mỗi tác vụ gắn một mã chỉ số.</t>
  </si>
  <si>
    <t>Sheet 05 · Hệ nguồn dữ liệu</t>
  </si>
  <si>
    <t>Xác nhận hệ thống nào cung cấp số liệu và ai là chủ sở hữu.</t>
  </si>
  <si>
    <t>Sheet 06 · Câu hỏi mở</t>
  </si>
  <si>
    <t>Trả lời trực tiếp vào cột dành riêng.</t>
  </si>
  <si>
    <t>Chú giải mức ưu tiên</t>
  </si>
  <si>
    <t>Bắt buộc</t>
  </si>
  <si>
    <t>Thiếu hạng mục này thì hệ thống không dùng được cho nghiệp vụ</t>
  </si>
  <si>
    <t>Nên có</t>
  </si>
  <si>
    <t>Quan trọng, có thể lùi sang đợt sau mà nghiệp vụ vẫn chạy</t>
  </si>
  <si>
    <t>Có thì tốt</t>
  </si>
  <si>
    <t>Làm nếu còn nguồn lực</t>
  </si>
  <si>
    <t>Đợt sau</t>
  </si>
  <si>
    <t>Hai bên thống nhất chưa làm lần này</t>
  </si>
  <si>
    <t>Chú giải mức đáp ứng</t>
  </si>
  <si>
    <t>Sẵn sàng</t>
  </si>
  <si>
    <t>Dùng được ngay sau khi khởi tạo hệ thống</t>
  </si>
  <si>
    <t>Sẵn sàng — cần kích hoạt</t>
  </si>
  <si>
    <t>Đã có sẵn, chờ Quý tổ chức cung cấp hạ tầng hoặc quyền truy cập</t>
  </si>
  <si>
    <t>Đáp ứng bằng cấu hình</t>
  </si>
  <si>
    <t>Thiết lập theo đặc thù của Quý tổ chức, không sửa mã nguồn</t>
  </si>
  <si>
    <t>Cần phát triển</t>
  </si>
  <si>
    <t>Cần bổ sung; nguồn lực nêu ở Đề xuất giải pháp</t>
  </si>
  <si>
    <t>Ngoài phạm vi đợt này</t>
  </si>
  <si>
    <t>Không nằm trong cam kết lần này</t>
  </si>
  <si>
    <t>Mã</t>
  </si>
  <si>
    <t>Phân hệ</t>
  </si>
  <si>
    <t>Tiêu đề</t>
  </si>
  <si>
    <t>Phát biểu yêu cầu</t>
  </si>
  <si>
    <t>Tiêu chí chấp nhận</t>
  </si>
  <si>
    <t>Ưu tiên</t>
  </si>
  <si>
    <t>Mức đáp ứng</t>
  </si>
  <si>
    <t>Khoảng trống</t>
  </si>
  <si>
    <t>Ý kiến của Quý vị</t>
  </si>
  <si>
    <t>Kết luận</t>
  </si>
  <si>
    <t>BR-E-01</t>
  </si>
  <si>
    <t>E · Khung KPI</t>
  </si>
  <si>
    <t>KPI cấu trúc cha–con</t>
  </si>
  <si>
    <t>Hệ thống phải cho phép định nghĩa KPI tổng hợp từ hai KPI thành phần trở lên, mỗi thành phần có trọng số riêng và tổng trọng số bằng 100%.</t>
  </si>
  <si>
    <t>Dựng lại đúng chỉ số tổng hợp trong tài liệu BC-02 và điểm tính ra khớp bảng tính hiện hành với sai số ≤ 0,5 điểm.</t>
  </si>
  <si>
    <t>BR-F-02</t>
  </si>
  <si>
    <t>F · Chu trình đánh giá</t>
  </si>
  <si>
    <t>Bước cân chỉnh có ghi lý do</t>
  </si>
  <si>
    <t>Hệ thống phải có bước cân chỉnh cho phép so sánh kết quả giữa các quản lý trước khi chốt, và mọi điều chỉnh điểm phải kèm lý do được lưu vết.</t>
  </si>
  <si>
    <t>Chạy thử một kỳ với 2 phòng: mọi thay đổi điểm tại bước cân chỉnh đều có lý do đính kèm và truy xuất lại được.</t>
  </si>
  <si>
    <t>BR-G-01</t>
  </si>
  <si>
    <t>G · Kiến trúc tác vụ</t>
  </si>
  <si>
    <t>Tác vụ bắt buộc gắn chỉ số</t>
  </si>
  <si>
    <t>Hệ thống phải chặn việc đưa một tác vụ vào sử dụng khi tác vụ đó chưa gắn với một chỉ số đo lường có thật trong Từ điển KPI.</t>
  </si>
  <si>
    <t>Thử kích hoạt một tác vụ chưa gắn chỉ số: hệ thống từ chối và nêu rõ lý do.</t>
  </si>
  <si>
    <t>BR-G-02</t>
  </si>
  <si>
    <t>Vòng lặp tối ưu tác vụ</t>
  </si>
  <si>
    <t>Hệ thống phải cho phép trưởng phòng uỷ quyền cho nhân viên soạn tác vụ, tiếp nhận góp ý từ người làm thật, mở lại để sửa và duyệt thành phiên bản mới, giữ nguyên lịch sử các phiên bản.</t>
  </si>
  <si>
    <t>Chạy trọn một vòng trên một tác vụ thật: góp ý → mở lại → sửa → duyệt → phiên bản 2, và so sánh được hai phiên bản.</t>
  </si>
  <si>
    <t>BR-L-03</t>
  </si>
  <si>
    <t>L · Phi chức năng &amp; tuân thủ</t>
  </si>
  <si>
    <t>Đăng nhập một lần bằng tài khoản tổ chức</t>
  </si>
  <si>
    <t>Hệ thống phải cho phép người dùng đăng nhập bằng chính tài khoản Microsoft của tổ chức, không tạo mật khẩu riêng.</t>
  </si>
  <si>
    <t>Người dùng đăng nhập thành công bằng tài khoản tổ chức; khoá tài khoản ở hệ định danh thì mất quyền truy cập ngay.</t>
  </si>
  <si>
    <t>Cần tổ chức cấp môi trường định danh và quyền đăng ký ứng dụng.</t>
  </si>
  <si>
    <t>BR-H-02</t>
  </si>
  <si>
    <t>H · Dữ liệu &amp; tích hợp</t>
  </si>
  <si>
    <t>Lấy số liệu tự động từ phần mềm kế toán</t>
  </si>
  <si>
    <t>Hệ thống phải lấy được số liệu thực tế của các chỉ số tài chính từ phần mềm kế toán đang dùng, theo chu kỳ tối thiểu hằng ngày.</t>
  </si>
  <si>
    <t>Số liệu của 5 chỉ số tài chính khớp với báo cáo gốc của phần mềm kế toán trong 3 kỳ đồng bộ liên tiếp.</t>
  </si>
  <si>
    <t>Cần viết kết nối riêng cho phần mềm kế toán; phụ thuộc việc hệ nguồn có mở giao diện kết nối hay không.</t>
  </si>
  <si>
    <t>BR-J-03</t>
  </si>
  <si>
    <t>J · Báo cáo</t>
  </si>
  <si>
    <t>Xuất báo cáo trình hội đồng</t>
  </si>
  <si>
    <t>Hệ thống phải xuất được báo cáo kết quả kỳ ra tệp trình bày để đưa vào hồ sơ hội đồng.</t>
  </si>
  <si>
    <t>Xuất được báo cáo kỳ đúng mẫu do tổ chức cung cấp.</t>
  </si>
  <si>
    <t>Bản hiện tại xem trên màn hình; xuất theo mẫu riêng cần phát triển.</t>
  </si>
  <si>
    <t>BẢNG CHỐT ƯU TIÊN</t>
  </si>
  <si>
    <t>Các ô đếm tự động theo sheet 01 — Quý vị sửa cột Ưu tiên hoặc Kết luận ở sheet 01 thì số ở đây tự đổi.</t>
  </si>
  <si>
    <t>Tổng</t>
  </si>
  <si>
    <t>TỔNG CỘNG</t>
  </si>
  <si>
    <t>Điểm cần chú ý: ô giao giữa “Bắt buộc” và “Cần phát triển” là phần quyết định nguồn lực của đợt triển khai.</t>
  </si>
  <si>
    <t>Kết luận của Quý vị</t>
  </si>
  <si>
    <t>Số yêu cầu</t>
  </si>
  <si>
    <t>Đồng ý</t>
  </si>
  <si>
    <t>Cần trao đổi</t>
  </si>
  <si>
    <t>Không đồng ý</t>
  </si>
  <si>
    <t>Bỏ khỏi phạm vi</t>
  </si>
  <si>
    <t>Yêu cầu</t>
  </si>
  <si>
    <t>Phương án đề xuất</t>
  </si>
  <si>
    <t>KIẾN TRÚC TÁC VỤ — đầu vào cho Từ điển Tác vụ</t>
  </si>
  <si>
    <t>Bảng này là đầu vào để dựng Từ điển Tác vụ. Mỗi tác vụ phải gắn một mã chỉ số; tác vụ chưa gắn chỉ số sẽ không được đưa vào sử dụng.</t>
  </si>
  <si>
    <t>Mỗi tác vụ phải gắn một mã chỉ số. Tác vụ chưa gắn chỉ số sẽ không được đưa vào sử dụng — đây là ràng buộc có chủ đích để kết quả đánh giá luôn giải thích được bằng công việc có thật.</t>
  </si>
  <si>
    <t>Phòng / Bộ phận</t>
  </si>
  <si>
    <t>Nhóm tác vụ</t>
  </si>
  <si>
    <t>Tên tác vụ</t>
  </si>
  <si>
    <t>Người chịu trách nhiệm</t>
  </si>
  <si>
    <t>Đầu ra</t>
  </si>
  <si>
    <t>Mã chỉ số (KPI)</t>
  </si>
  <si>
    <t>Tần suất</t>
  </si>
  <si>
    <t>Trạng thái</t>
  </si>
  <si>
    <t>Tuyển sinh</t>
  </si>
  <si>
    <t>Tiếp nhận hồ sơ</t>
  </si>
  <si>
    <t>Kiểm tra tính đầy đủ của hồ sơ</t>
  </si>
  <si>
    <t>Chuyên viên tuyển sinh</t>
  </si>
  <si>
    <t>Hồ sơ hợp lệ đã phân loại</t>
  </si>
  <si>
    <t>KPI-TS-01</t>
  </si>
  <si>
    <t>Hằng ngày</t>
  </si>
  <si>
    <t>Đề xuất</t>
  </si>
  <si>
    <t>Chăm sóc ứng viên</t>
  </si>
  <si>
    <t>Gọi lại ứng viên tiềm năng trong 24 giờ</t>
  </si>
  <si>
    <t>Nhật ký liên hệ</t>
  </si>
  <si>
    <t>KPI-TS-04</t>
  </si>
  <si>
    <t>Tài chính</t>
  </si>
  <si>
    <t>Đối chiếu công nợ</t>
  </si>
  <si>
    <t>Đối chiếu số thu học phí cuối tháng</t>
  </si>
  <si>
    <t>Kế toán công nợ</t>
  </si>
  <si>
    <t>Biên bản đối chiếu</t>
  </si>
  <si>
    <t>KPI-TC-02</t>
  </si>
  <si>
    <t>Hằng tháng</t>
  </si>
  <si>
    <t>Hệ nguồn</t>
  </si>
  <si>
    <t>Chủ sở hữu (chức danh)</t>
  </si>
  <si>
    <t>Dữ liệu cần lấy</t>
  </si>
  <si>
    <t>Có kết nối?</t>
  </si>
  <si>
    <t>Tần suất mong muốn</t>
  </si>
  <si>
    <t>Phương án dự phòng</t>
  </si>
  <si>
    <t>Xác nhận của Quý vị</t>
  </si>
  <si>
    <t>Phần mềm kế toán</t>
  </si>
  <si>
    <t>Trưởng phòng Tài chính</t>
  </si>
  <si>
    <t>Doanh thu, chi phí theo đơn vị</t>
  </si>
  <si>
    <t>Chưa rõ</t>
  </si>
  <si>
    <t>Tệp CSV định kỳ</t>
  </si>
  <si>
    <t>Phần mềm nhân sự</t>
  </si>
  <si>
    <t>Trưởng phòng Nhân sự</t>
  </si>
  <si>
    <t>Danh sách nhân sự, chức danh, phòng ban</t>
  </si>
  <si>
    <t>Có</t>
  </si>
  <si>
    <t>Tệp CSV</t>
  </si>
  <si>
    <t>#</t>
  </si>
  <si>
    <t>Câu hỏi</t>
  </si>
  <si>
    <t>Người trả lời</t>
  </si>
  <si>
    <t>Hạn</t>
  </si>
  <si>
    <t>Chặn yêu cầu</t>
  </si>
  <si>
    <t>TRẢ LỜI CỦA QUÝ VỊ</t>
  </si>
  <si>
    <t>Công thức quy đổi từ điểm đánh giá sang thưởng hiện hành là gì?</t>
  </si>
  <si>
    <t>Trong 1 tuần</t>
  </si>
  <si>
    <t>BR-F-05</t>
  </si>
  <si>
    <t>Người được đánh giá có được xem điểm trước khi kết quả chốt cuối cùng không?</t>
  </si>
  <si>
    <t>Giám đốc Nhân sự</t>
  </si>
  <si>
    <t>BR-D-04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</si>
</sst>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6"/>
      <color rgb="FF04361C"/>
      <name val="Be Vietnam Pro"/>
    </font>
    <font>
      <sz val="11"/>
      <name val="Be Vietnam Pro"/>
    </font>
    <font>
      <sz val="10"/>
      <name val="Be Vietnam Pro"/>
    </font>
    <font>
      <b/>
      <sz val="10"/>
      <color rgb="FFED2024"/>
      <name val="Be Vietnam Pro"/>
    </font>
    <font>
      <b/>
      <sz val="10"/>
      <name val="Be Vietnam Pro"/>
    </font>
    <font>
      <b/>
      <sz val="10"/>
      <color rgb="FFFFFFFF"/>
      <name val="Be Vietnam Pro"/>
    </font>
    <font>
      <b/>
      <sz val="14"/>
      <color rgb="FF04361C"/>
      <name val="Be Vietnam Pro"/>
    </font>
    <font>
      <i/>
      <sz val="9"/>
      <color rgb="FF7C8285"/>
      <name val="Be Vietnam Pro"/>
    </font>
    <font>
      <b/>
      <sz val="13"/>
      <color rgb="FF04361C"/>
      <name val="Be Vietnam Pro"/>
    </font>
  </fonts>
  <fills count="9">
    <fill>
      <patternFill patternType="none"/>
    </fill>
    <fill>
      <patternFill patternType="gray125"/>
    </fill>
    <fill>
      <patternFill patternType="solid">
        <fgColor rgb="FFE8F4ED"/>
      </patternFill>
    </fill>
    <fill>
      <patternFill patternType="solid">
        <fgColor rgb="FFE5F0F9"/>
      </patternFill>
    </fill>
    <fill>
      <patternFill patternType="solid">
        <fgColor rgb="FFEEF3EF"/>
      </patternFill>
    </fill>
    <fill>
      <patternFill patternType="solid">
        <fgColor rgb="FFFBF0DC"/>
      </patternFill>
    </fill>
    <fill>
      <patternFill patternType="solid">
        <fgColor rgb="FFFDECEC"/>
      </patternFill>
    </fill>
    <fill>
      <patternFill patternType="solid">
        <fgColor rgb="FF037236"/>
      </patternFill>
    </fill>
    <fill>
      <patternFill patternType="solid">
        <fgColor rgb="FFFFFDF5"/>
      </patternFill>
    </fill>
  </fills>
  <borders count="2">
    <border>
      <left/>
      <right/>
      <top/>
      <bottom/>
      <diagonal/>
    </border>
    <border>
      <left style="thin">
        <color rgb="FFDDE5E0"/>
      </left>
      <right style="thin">
        <color rgb="FFDDE5E0"/>
      </right>
      <top style="thin">
        <color rgb="FFDDE5E0"/>
      </top>
      <bottom style="thin">
        <color rgb="FFDDE5E0"/>
      </bottom>
      <diagonal/>
    </border>
  </borders>
  <cellStyleXfs count="1">
    <xf numFmtId="0" fontId="0" fillId="0" borderId="0"/>
  </cellStyleXfs>
  <cellXfs count="24">
    <xf numFmtId="0" fontId="0" fillId="0" borderId="0" xfId="0"/>
    <xf numFmtId="0" fontId="1" fillId="0" borderId="1" xfId="0" applyFont="1" applyBorder="1" applyAlignment="1">
      <alignment vertical="top" wrapText="1"/>
    </xf>
    <xf numFmtId="0" fontId="2" fillId="0" borderId="1" xfId="0" applyFont="1" applyBorder="1" applyAlignment="1">
      <alignment vertical="top" wrapText="1"/>
    </xf>
    <xf numFmtId="0" fontId="4" fillId="0" borderId="1" xfId="0" applyFont="1" applyBorder="1" applyAlignment="1">
      <alignment vertical="top" wrapText="1"/>
    </xf>
    <xf numFmtId="0" fontId="5" fillId="2" borderId="1" xfId="0" applyFont="1" applyFill="1" applyBorder="1" applyAlignment="1">
      <alignment vertical="top" wrapText="1"/>
    </xf>
    <xf numFmtId="0" fontId="3" fillId="2" borderId="1" xfId="0" applyFont="1" applyFill="1" applyBorder="1" applyAlignment="1">
      <alignment vertical="top" wrapText="1"/>
    </xf>
    <xf numFmtId="0" fontId="5" fillId="0" borderId="1" xfId="0" applyFont="1" applyBorder="1" applyAlignment="1">
      <alignment vertical="top" wrapText="1"/>
    </xf>
    <xf numFmtId="0" fontId="3" fillId="0" borderId="1" xfId="0" applyFont="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6" fillId="7" borderId="1" xfId="0" applyFont="1" applyFill="1" applyBorder="1" applyAlignment="1">
      <alignment vertical="center" wrapText="1"/>
    </xf>
    <xf numFmtId="0" fontId="3" fillId="6" borderId="1" xfId="0" applyFont="1" applyFill="1" applyBorder="1" applyAlignment="1">
      <alignment vertical="top" wrapText="1"/>
    </xf>
    <xf numFmtId="0" fontId="3" fillId="3" borderId="1" xfId="0" applyFont="1" applyFill="1" applyBorder="1" applyAlignment="1">
      <alignment vertical="top" wrapText="1"/>
    </xf>
    <xf numFmtId="0" fontId="3" fillId="5" borderId="1" xfId="0" applyFont="1" applyFill="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3" fillId="0" borderId="1" xfId="0" applyFont="1" applyBorder="1" applyAlignment="1">
      <alignment vertical="top"/>
    </xf>
    <xf numFmtId="0" fontId="5" fillId="0" borderId="1" xfId="0" applyFont="1" applyBorder="1" applyAlignment="1">
      <alignment vertical="top"/>
    </xf>
    <xf numFmtId="0" fontId="5" fillId="2" borderId="1" xfId="0" applyFont="1" applyFill="1" applyBorder="1" applyAlignment="1">
      <alignment vertical="top"/>
    </xf>
    <xf numFmtId="0" fontId="3" fillId="8" borderId="1" xfId="0" applyFont="1" applyFill="1" applyBorder="1" applyAlignment="1">
      <alignment vertical="top" wrapText="1"/>
    </xf>
    <xf numFmtId="0" fontId="9" fillId="0" borderId="1" xfId="0" applyFont="1" applyBorder="1" applyAlignment="1">
      <alignment vertical="top"/>
    </xf>
    <xf numFmtId="0" fontId="8" fillId="0" borderId="1" xfId="0"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showGridLines="0" workbookViewId="0">
      <selection activeCell="A25" sqref="A25"/>
    </sheetView>
  </sheetViews>
  <sheetFormatPr defaultRowHeight="14.25"/>
  <cols>
    <col min="1" max="1" width="34" customWidth="1"/>
    <col min="2" max="2" width="78" customWidth="1"/>
  </cols>
  <sheetData>
    <row r="1" spans="1:2" ht="41.25">
      <c r="A1" s="1" t="s">
        <v>0</v>
      </c>
    </row>
    <row r="2" spans="1:2" ht="27">
      <c r="A2" s="2" t="s">
        <v>1</v>
      </c>
    </row>
    <row r="3" spans="1:2">
      <c r="A3" s="3" t="s">
        <v>2</v>
      </c>
    </row>
    <row r="5" spans="1:2">
      <c r="A5" s="4" t="s">
        <v>3</v>
      </c>
      <c r="B5" s="5"/>
    </row>
    <row r="6" spans="1:2" ht="30" customHeight="1">
      <c r="A6" s="6" t="s">
        <v>4</v>
      </c>
      <c r="B6" s="7" t="s">
        <v>5</v>
      </c>
    </row>
    <row r="7" spans="1:2" ht="30" customHeight="1">
      <c r="A7" s="6" t="s">
        <v>6</v>
      </c>
      <c r="B7" s="7" t="s">
        <v>7</v>
      </c>
    </row>
    <row r="8" spans="1:2" ht="30" customHeight="1">
      <c r="A8" s="6" t="s">
        <v>8</v>
      </c>
      <c r="B8" s="7" t="s">
        <v>9</v>
      </c>
    </row>
    <row r="9" spans="1:2" ht="30" customHeight="1">
      <c r="A9" s="6" t="s">
        <v>10</v>
      </c>
      <c r="B9" s="7" t="s">
        <v>11</v>
      </c>
    </row>
    <row r="10" spans="1:2" ht="30" customHeight="1">
      <c r="A10" s="6" t="s">
        <v>12</v>
      </c>
      <c r="B10" s="7" t="s">
        <v>13</v>
      </c>
    </row>
    <row r="11" spans="1:2" ht="30" customHeight="1">
      <c r="A11" s="6" t="s">
        <v>14</v>
      </c>
      <c r="B11" s="7" t="s">
        <v>15</v>
      </c>
    </row>
    <row r="13" spans="1:2">
      <c r="A13" s="4" t="s">
        <v>16</v>
      </c>
      <c r="B13" s="5"/>
    </row>
    <row r="14" spans="1:2">
      <c r="A14" s="6" t="s">
        <v>17</v>
      </c>
      <c r="B14" s="7" t="s">
        <v>18</v>
      </c>
    </row>
    <row r="15" spans="1:2">
      <c r="A15" s="6" t="s">
        <v>19</v>
      </c>
      <c r="B15" s="7" t="s">
        <v>20</v>
      </c>
    </row>
    <row r="16" spans="1:2">
      <c r="A16" s="6" t="s">
        <v>21</v>
      </c>
      <c r="B16" s="7" t="s">
        <v>22</v>
      </c>
    </row>
    <row r="17" spans="1:2">
      <c r="A17" s="6" t="s">
        <v>23</v>
      </c>
      <c r="B17" s="7" t="s">
        <v>24</v>
      </c>
    </row>
    <row r="19" spans="1:2">
      <c r="A19" s="4" t="s">
        <v>25</v>
      </c>
      <c r="B19" s="5"/>
    </row>
    <row r="20" spans="1:2">
      <c r="A20" s="4" t="s">
        <v>26</v>
      </c>
      <c r="B20" s="7" t="s">
        <v>27</v>
      </c>
    </row>
    <row r="21" spans="1:2">
      <c r="A21" s="8" t="s">
        <v>28</v>
      </c>
      <c r="B21" s="7" t="s">
        <v>29</v>
      </c>
    </row>
    <row r="22" spans="1:2">
      <c r="A22" s="9" t="s">
        <v>30</v>
      </c>
      <c r="B22" s="7" t="s">
        <v>31</v>
      </c>
    </row>
    <row r="23" spans="1:2">
      <c r="A23" s="10" t="s">
        <v>32</v>
      </c>
      <c r="B23" s="7" t="s">
        <v>33</v>
      </c>
    </row>
    <row r="24" spans="1:2">
      <c r="A24" s="11" t="s">
        <v>34</v>
      </c>
      <c r="B24" s="7"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
  <sheetViews>
    <sheetView showGridLines="0" workbookViewId="0">
      <pane xSplit="2" ySplit="1" topLeftCell="C2" activePane="bottomRight" state="frozen"/>
      <selection pane="topRight"/>
      <selection pane="bottomLeft"/>
      <selection pane="bottomRight" activeCell="G2" sqref="G2"/>
    </sheetView>
  </sheetViews>
  <sheetFormatPr defaultRowHeight="14.25"/>
  <cols>
    <col min="1" max="1" width="11" customWidth="1"/>
    <col min="2" max="2" width="20" customWidth="1"/>
    <col min="3" max="3" width="24" customWidth="1"/>
    <col min="4" max="4" width="52" customWidth="1"/>
    <col min="5" max="5" width="46" customWidth="1"/>
    <col min="6" max="6" width="12" customWidth="1"/>
    <col min="7" max="7" width="24" customWidth="1"/>
    <col min="8" max="9" width="34" customWidth="1"/>
    <col min="10" max="10" width="17" customWidth="1"/>
  </cols>
  <sheetData>
    <row r="1" spans="1:10" ht="30" customHeight="1">
      <c r="A1" s="12" t="s">
        <v>36</v>
      </c>
      <c r="B1" s="12" t="s">
        <v>37</v>
      </c>
      <c r="C1" s="12" t="s">
        <v>38</v>
      </c>
      <c r="D1" s="12" t="s">
        <v>39</v>
      </c>
      <c r="E1" s="12" t="s">
        <v>40</v>
      </c>
      <c r="F1" s="12" t="s">
        <v>41</v>
      </c>
      <c r="G1" s="12" t="s">
        <v>42</v>
      </c>
      <c r="H1" s="12" t="s">
        <v>43</v>
      </c>
      <c r="I1" s="12" t="s">
        <v>44</v>
      </c>
      <c r="J1" s="12" t="s">
        <v>45</v>
      </c>
    </row>
    <row r="2" spans="1:10" ht="58.05" customHeight="1">
      <c r="A2" s="6" t="s">
        <v>46</v>
      </c>
      <c r="B2" s="7" t="s">
        <v>47</v>
      </c>
      <c r="C2" s="7" t="s">
        <v>48</v>
      </c>
      <c r="D2" s="7" t="s">
        <v>49</v>
      </c>
      <c r="E2" s="7" t="s">
        <v>50</v>
      </c>
      <c r="F2" s="13" t="s">
        <v>17</v>
      </c>
      <c r="G2" s="5" t="s">
        <v>26</v>
      </c>
      <c r="H2" s="7"/>
      <c r="I2" s="7"/>
      <c r="J2" s="7"/>
    </row>
    <row r="3" spans="1:10" ht="58.05" customHeight="1">
      <c r="A3" s="6" t="s">
        <v>51</v>
      </c>
      <c r="B3" s="7" t="s">
        <v>52</v>
      </c>
      <c r="C3" s="7" t="s">
        <v>53</v>
      </c>
      <c r="D3" s="7" t="s">
        <v>54</v>
      </c>
      <c r="E3" s="7" t="s">
        <v>55</v>
      </c>
      <c r="F3" s="13" t="s">
        <v>17</v>
      </c>
      <c r="G3" s="5" t="s">
        <v>26</v>
      </c>
      <c r="H3" s="7"/>
      <c r="I3" s="7"/>
      <c r="J3" s="7"/>
    </row>
    <row r="4" spans="1:10" ht="58.05" customHeight="1">
      <c r="A4" s="6" t="s">
        <v>56</v>
      </c>
      <c r="B4" s="7" t="s">
        <v>57</v>
      </c>
      <c r="C4" s="7" t="s">
        <v>58</v>
      </c>
      <c r="D4" s="7" t="s">
        <v>59</v>
      </c>
      <c r="E4" s="7" t="s">
        <v>60</v>
      </c>
      <c r="F4" s="13" t="s">
        <v>17</v>
      </c>
      <c r="G4" s="5" t="s">
        <v>26</v>
      </c>
      <c r="H4" s="7"/>
      <c r="I4" s="7"/>
      <c r="J4" s="7"/>
    </row>
    <row r="5" spans="1:10" ht="58.05" customHeight="1">
      <c r="A5" s="6" t="s">
        <v>61</v>
      </c>
      <c r="B5" s="7" t="s">
        <v>57</v>
      </c>
      <c r="C5" s="7" t="s">
        <v>62</v>
      </c>
      <c r="D5" s="7" t="s">
        <v>63</v>
      </c>
      <c r="E5" s="7" t="s">
        <v>64</v>
      </c>
      <c r="F5" s="7" t="s">
        <v>19</v>
      </c>
      <c r="G5" s="5" t="s">
        <v>26</v>
      </c>
      <c r="H5" s="7"/>
      <c r="I5" s="7"/>
      <c r="J5" s="7"/>
    </row>
    <row r="6" spans="1:10" ht="58.05" customHeight="1">
      <c r="A6" s="6" t="s">
        <v>65</v>
      </c>
      <c r="B6" s="7" t="s">
        <v>66</v>
      </c>
      <c r="C6" s="7" t="s">
        <v>67</v>
      </c>
      <c r="D6" s="7" t="s">
        <v>68</v>
      </c>
      <c r="E6" s="7" t="s">
        <v>69</v>
      </c>
      <c r="F6" s="13" t="s">
        <v>17</v>
      </c>
      <c r="G6" s="14" t="s">
        <v>28</v>
      </c>
      <c r="H6" s="7" t="s">
        <v>70</v>
      </c>
      <c r="I6" s="7"/>
      <c r="J6" s="7"/>
    </row>
    <row r="7" spans="1:10" ht="58.05" customHeight="1">
      <c r="A7" s="6" t="s">
        <v>71</v>
      </c>
      <c r="B7" s="7" t="s">
        <v>72</v>
      </c>
      <c r="C7" s="7" t="s">
        <v>73</v>
      </c>
      <c r="D7" s="7" t="s">
        <v>74</v>
      </c>
      <c r="E7" s="7" t="s">
        <v>75</v>
      </c>
      <c r="F7" s="13" t="s">
        <v>17</v>
      </c>
      <c r="G7" s="15" t="s">
        <v>32</v>
      </c>
      <c r="H7" s="7" t="s">
        <v>76</v>
      </c>
      <c r="I7" s="7"/>
      <c r="J7" s="7"/>
    </row>
    <row r="8" spans="1:10" ht="58.05" customHeight="1">
      <c r="A8" s="6" t="s">
        <v>77</v>
      </c>
      <c r="B8" s="7" t="s">
        <v>78</v>
      </c>
      <c r="C8" s="7" t="s">
        <v>79</v>
      </c>
      <c r="D8" s="7" t="s">
        <v>80</v>
      </c>
      <c r="E8" s="7" t="s">
        <v>81</v>
      </c>
      <c r="F8" s="7" t="s">
        <v>19</v>
      </c>
      <c r="G8" s="15" t="s">
        <v>32</v>
      </c>
      <c r="H8" s="7" t="s">
        <v>82</v>
      </c>
      <c r="I8" s="7"/>
      <c r="J8" s="7"/>
    </row>
  </sheetData>
  <autoFilter ref="A1:J8" xr:uid="{00000000-0009-0000-0000-000001000000}"/>
  <dataValidations count="2">
    <dataValidation type="list" allowBlank="1" sqref="J2:J8" xr:uid="{00000000-0002-0000-0100-000000000000}">
      <formula1>"Đồng ý,Cần trao đổi,Không đồng ý,Bỏ khỏi phạm vi"</formula1>
    </dataValidation>
    <dataValidation type="list" allowBlank="1" sqref="F2:F8" xr:uid="{00000000-0002-0000-0100-000001000000}">
      <formula1>"Bắt buộc,Nên có,Có thì tốt,Đợt sau"</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showGridLines="0" workbookViewId="0"/>
  </sheetViews>
  <sheetFormatPr defaultRowHeight="14.25"/>
  <cols>
    <col min="1" max="1" width="34" customWidth="1"/>
    <col min="2" max="2" width="16" customWidth="1"/>
    <col min="3" max="6" width="14" customWidth="1"/>
  </cols>
  <sheetData>
    <row r="1" spans="1:6" ht="17.649999999999999">
      <c r="A1" s="16" t="s">
        <v>83</v>
      </c>
    </row>
    <row r="2" spans="1:6" ht="34.9">
      <c r="A2" s="17" t="s">
        <v>84</v>
      </c>
    </row>
    <row r="4" spans="1:6" ht="30" customHeight="1">
      <c r="A4" s="12" t="s">
        <v>37</v>
      </c>
      <c r="B4" s="12" t="s">
        <v>17</v>
      </c>
      <c r="C4" s="12" t="s">
        <v>19</v>
      </c>
      <c r="D4" s="12" t="s">
        <v>21</v>
      </c>
      <c r="E4" s="12" t="s">
        <v>23</v>
      </c>
      <c r="F4" s="12" t="s">
        <v>85</v>
      </c>
    </row>
    <row r="5" spans="1:6">
      <c r="A5" s="6" t="s">
        <v>47</v>
      </c>
      <c r="B5" s="18">
        <f>COUNTIFS('01 · Danh mục Yêu cầu'!$B:$B,"E · *",'01 · Danh mục Yêu cầu'!$F:$F,"Bắt buộc")</f>
        <v>1</v>
      </c>
      <c r="C5" s="18">
        <f>COUNTIFS('01 · Danh mục Yêu cầu'!$B:$B,"E · *",'01 · Danh mục Yêu cầu'!$F:$F,"Nên có")</f>
        <v>0</v>
      </c>
      <c r="D5" s="18">
        <f>COUNTIFS('01 · Danh mục Yêu cầu'!$B:$B,"E · *",'01 · Danh mục Yêu cầu'!$F:$F,"Có thì tốt")</f>
        <v>0</v>
      </c>
      <c r="E5" s="18">
        <f>COUNTIFS('01 · Danh mục Yêu cầu'!$B:$B,"E · *",'01 · Danh mục Yêu cầu'!$F:$F,"Đợt sau")</f>
        <v>0</v>
      </c>
      <c r="F5" s="19">
        <f t="shared" ref="F5:F10" si="0">SUM(B5:E5)</f>
        <v>1</v>
      </c>
    </row>
    <row r="6" spans="1:6">
      <c r="A6" s="6" t="s">
        <v>52</v>
      </c>
      <c r="B6" s="18">
        <f>COUNTIFS('01 · Danh mục Yêu cầu'!$B:$B,"F · *",'01 · Danh mục Yêu cầu'!$F:$F,"Bắt buộc")</f>
        <v>1</v>
      </c>
      <c r="C6" s="18">
        <f>COUNTIFS('01 · Danh mục Yêu cầu'!$B:$B,"F · *",'01 · Danh mục Yêu cầu'!$F:$F,"Nên có")</f>
        <v>0</v>
      </c>
      <c r="D6" s="18">
        <f>COUNTIFS('01 · Danh mục Yêu cầu'!$B:$B,"F · *",'01 · Danh mục Yêu cầu'!$F:$F,"Có thì tốt")</f>
        <v>0</v>
      </c>
      <c r="E6" s="18">
        <f>COUNTIFS('01 · Danh mục Yêu cầu'!$B:$B,"F · *",'01 · Danh mục Yêu cầu'!$F:$F,"Đợt sau")</f>
        <v>0</v>
      </c>
      <c r="F6" s="19">
        <f t="shared" si="0"/>
        <v>1</v>
      </c>
    </row>
    <row r="7" spans="1:6">
      <c r="A7" s="6" t="s">
        <v>57</v>
      </c>
      <c r="B7" s="18">
        <f>COUNTIFS('01 · Danh mục Yêu cầu'!$B:$B,"G · *",'01 · Danh mục Yêu cầu'!$F:$F,"Bắt buộc")</f>
        <v>1</v>
      </c>
      <c r="C7" s="18">
        <f>COUNTIFS('01 · Danh mục Yêu cầu'!$B:$B,"G · *",'01 · Danh mục Yêu cầu'!$F:$F,"Nên có")</f>
        <v>1</v>
      </c>
      <c r="D7" s="18">
        <f>COUNTIFS('01 · Danh mục Yêu cầu'!$B:$B,"G · *",'01 · Danh mục Yêu cầu'!$F:$F,"Có thì tốt")</f>
        <v>0</v>
      </c>
      <c r="E7" s="18">
        <f>COUNTIFS('01 · Danh mục Yêu cầu'!$B:$B,"G · *",'01 · Danh mục Yêu cầu'!$F:$F,"Đợt sau")</f>
        <v>0</v>
      </c>
      <c r="F7" s="19">
        <f t="shared" si="0"/>
        <v>2</v>
      </c>
    </row>
    <row r="8" spans="1:6">
      <c r="A8" s="6" t="s">
        <v>72</v>
      </c>
      <c r="B8" s="18">
        <f>COUNTIFS('01 · Danh mục Yêu cầu'!$B:$B,"H · *",'01 · Danh mục Yêu cầu'!$F:$F,"Bắt buộc")</f>
        <v>1</v>
      </c>
      <c r="C8" s="18">
        <f>COUNTIFS('01 · Danh mục Yêu cầu'!$B:$B,"H · *",'01 · Danh mục Yêu cầu'!$F:$F,"Nên có")</f>
        <v>0</v>
      </c>
      <c r="D8" s="18">
        <f>COUNTIFS('01 · Danh mục Yêu cầu'!$B:$B,"H · *",'01 · Danh mục Yêu cầu'!$F:$F,"Có thì tốt")</f>
        <v>0</v>
      </c>
      <c r="E8" s="18">
        <f>COUNTIFS('01 · Danh mục Yêu cầu'!$B:$B,"H · *",'01 · Danh mục Yêu cầu'!$F:$F,"Đợt sau")</f>
        <v>0</v>
      </c>
      <c r="F8" s="19">
        <f t="shared" si="0"/>
        <v>1</v>
      </c>
    </row>
    <row r="9" spans="1:6">
      <c r="A9" s="6" t="s">
        <v>78</v>
      </c>
      <c r="B9" s="18">
        <f>COUNTIFS('01 · Danh mục Yêu cầu'!$B:$B,"J · *",'01 · Danh mục Yêu cầu'!$F:$F,"Bắt buộc")</f>
        <v>0</v>
      </c>
      <c r="C9" s="18">
        <f>COUNTIFS('01 · Danh mục Yêu cầu'!$B:$B,"J · *",'01 · Danh mục Yêu cầu'!$F:$F,"Nên có")</f>
        <v>1</v>
      </c>
      <c r="D9" s="18">
        <f>COUNTIFS('01 · Danh mục Yêu cầu'!$B:$B,"J · *",'01 · Danh mục Yêu cầu'!$F:$F,"Có thì tốt")</f>
        <v>0</v>
      </c>
      <c r="E9" s="18">
        <f>COUNTIFS('01 · Danh mục Yêu cầu'!$B:$B,"J · *",'01 · Danh mục Yêu cầu'!$F:$F,"Đợt sau")</f>
        <v>0</v>
      </c>
      <c r="F9" s="19">
        <f t="shared" si="0"/>
        <v>1</v>
      </c>
    </row>
    <row r="10" spans="1:6">
      <c r="A10" s="6" t="s">
        <v>66</v>
      </c>
      <c r="B10" s="18">
        <f>COUNTIFS('01 · Danh mục Yêu cầu'!$B:$B,"L · *",'01 · Danh mục Yêu cầu'!$F:$F,"Bắt buộc")</f>
        <v>1</v>
      </c>
      <c r="C10" s="18">
        <f>COUNTIFS('01 · Danh mục Yêu cầu'!$B:$B,"L · *",'01 · Danh mục Yêu cầu'!$F:$F,"Nên có")</f>
        <v>0</v>
      </c>
      <c r="D10" s="18">
        <f>COUNTIFS('01 · Danh mục Yêu cầu'!$B:$B,"L · *",'01 · Danh mục Yêu cầu'!$F:$F,"Có thì tốt")</f>
        <v>0</v>
      </c>
      <c r="E10" s="18">
        <f>COUNTIFS('01 · Danh mục Yêu cầu'!$B:$B,"L · *",'01 · Danh mục Yêu cầu'!$F:$F,"Đợt sau")</f>
        <v>0</v>
      </c>
      <c r="F10" s="19">
        <f t="shared" si="0"/>
        <v>1</v>
      </c>
    </row>
    <row r="11" spans="1:6">
      <c r="A11" s="4" t="s">
        <v>86</v>
      </c>
      <c r="B11" s="20">
        <f>SUM(B5:B10)</f>
        <v>5</v>
      </c>
      <c r="C11" s="20">
        <f>SUM(C5:C10)</f>
        <v>2</v>
      </c>
      <c r="D11" s="20">
        <f>SUM(D5:D10)</f>
        <v>0</v>
      </c>
      <c r="E11" s="20">
        <f>SUM(E5:E10)</f>
        <v>0</v>
      </c>
      <c r="F11" s="20">
        <f>SUM(F5:F10)</f>
        <v>7</v>
      </c>
    </row>
    <row r="14" spans="1:6" ht="30" customHeight="1">
      <c r="A14" s="12" t="s">
        <v>42</v>
      </c>
      <c r="B14" s="12" t="s">
        <v>17</v>
      </c>
      <c r="C14" s="12" t="s">
        <v>19</v>
      </c>
      <c r="D14" s="12" t="s">
        <v>21</v>
      </c>
      <c r="E14" s="12" t="s">
        <v>23</v>
      </c>
      <c r="F14" s="12" t="s">
        <v>85</v>
      </c>
    </row>
    <row r="15" spans="1:6">
      <c r="A15" s="4" t="s">
        <v>26</v>
      </c>
      <c r="B15" s="18">
        <f>COUNTIFS('01 · Danh mục Yêu cầu'!$G:$G,"Sẵn sàng",'01 · Danh mục Yêu cầu'!$F:$F,"Bắt buộc")</f>
        <v>3</v>
      </c>
      <c r="C15" s="18">
        <f>COUNTIFS('01 · Danh mục Yêu cầu'!$G:$G,"Sẵn sàng",'01 · Danh mục Yêu cầu'!$F:$F,"Nên có")</f>
        <v>1</v>
      </c>
      <c r="D15" s="18">
        <f>COUNTIFS('01 · Danh mục Yêu cầu'!$G:$G,"Sẵn sàng",'01 · Danh mục Yêu cầu'!$F:$F,"Có thì tốt")</f>
        <v>0</v>
      </c>
      <c r="E15" s="18">
        <f>COUNTIFS('01 · Danh mục Yêu cầu'!$G:$G,"Sẵn sàng",'01 · Danh mục Yêu cầu'!$F:$F,"Đợt sau")</f>
        <v>0</v>
      </c>
      <c r="F15" s="19">
        <f>SUM(B15:E15)</f>
        <v>4</v>
      </c>
    </row>
    <row r="16" spans="1:6">
      <c r="A16" s="8" t="s">
        <v>28</v>
      </c>
      <c r="B16" s="18">
        <f>COUNTIFS('01 · Danh mục Yêu cầu'!$G:$G,"Sẵn sàng — cần kích hoạt",'01 · Danh mục Yêu cầu'!$F:$F,"Bắt buộc")</f>
        <v>1</v>
      </c>
      <c r="C16" s="18">
        <f>COUNTIFS('01 · Danh mục Yêu cầu'!$G:$G,"Sẵn sàng — cần kích hoạt",'01 · Danh mục Yêu cầu'!$F:$F,"Nên có")</f>
        <v>0</v>
      </c>
      <c r="D16" s="18">
        <f>COUNTIFS('01 · Danh mục Yêu cầu'!$G:$G,"Sẵn sàng — cần kích hoạt",'01 · Danh mục Yêu cầu'!$F:$F,"Có thì tốt")</f>
        <v>0</v>
      </c>
      <c r="E16" s="18">
        <f>COUNTIFS('01 · Danh mục Yêu cầu'!$G:$G,"Sẵn sàng — cần kích hoạt",'01 · Danh mục Yêu cầu'!$F:$F,"Đợt sau")</f>
        <v>0</v>
      </c>
      <c r="F16" s="19">
        <f>SUM(B16:E16)</f>
        <v>1</v>
      </c>
    </row>
    <row r="17" spans="1:6">
      <c r="A17" s="9" t="s">
        <v>30</v>
      </c>
      <c r="B17" s="18">
        <f>COUNTIFS('01 · Danh mục Yêu cầu'!$G:$G,"Đáp ứng bằng cấu hình",'01 · Danh mục Yêu cầu'!$F:$F,"Bắt buộc")</f>
        <v>0</v>
      </c>
      <c r="C17" s="18">
        <f>COUNTIFS('01 · Danh mục Yêu cầu'!$G:$G,"Đáp ứng bằng cấu hình",'01 · Danh mục Yêu cầu'!$F:$F,"Nên có")</f>
        <v>0</v>
      </c>
      <c r="D17" s="18">
        <f>COUNTIFS('01 · Danh mục Yêu cầu'!$G:$G,"Đáp ứng bằng cấu hình",'01 · Danh mục Yêu cầu'!$F:$F,"Có thì tốt")</f>
        <v>0</v>
      </c>
      <c r="E17" s="18">
        <f>COUNTIFS('01 · Danh mục Yêu cầu'!$G:$G,"Đáp ứng bằng cấu hình",'01 · Danh mục Yêu cầu'!$F:$F,"Đợt sau")</f>
        <v>0</v>
      </c>
      <c r="F17" s="19">
        <f>SUM(B17:E17)</f>
        <v>0</v>
      </c>
    </row>
    <row r="18" spans="1:6">
      <c r="A18" s="10" t="s">
        <v>32</v>
      </c>
      <c r="B18" s="18">
        <f>COUNTIFS('01 · Danh mục Yêu cầu'!$G:$G,"Cần phát triển",'01 · Danh mục Yêu cầu'!$F:$F,"Bắt buộc")</f>
        <v>1</v>
      </c>
      <c r="C18" s="18">
        <f>COUNTIFS('01 · Danh mục Yêu cầu'!$G:$G,"Cần phát triển",'01 · Danh mục Yêu cầu'!$F:$F,"Nên có")</f>
        <v>1</v>
      </c>
      <c r="D18" s="18">
        <f>COUNTIFS('01 · Danh mục Yêu cầu'!$G:$G,"Cần phát triển",'01 · Danh mục Yêu cầu'!$F:$F,"Có thì tốt")</f>
        <v>0</v>
      </c>
      <c r="E18" s="18">
        <f>COUNTIFS('01 · Danh mục Yêu cầu'!$G:$G,"Cần phát triển",'01 · Danh mục Yêu cầu'!$F:$F,"Đợt sau")</f>
        <v>0</v>
      </c>
      <c r="F18" s="19">
        <f>SUM(B18:E18)</f>
        <v>2</v>
      </c>
    </row>
    <row r="19" spans="1:6">
      <c r="A19" s="11" t="s">
        <v>34</v>
      </c>
      <c r="B19" s="18">
        <f>COUNTIFS('01 · Danh mục Yêu cầu'!$G:$G,"Ngoài phạm vi đợt này",'01 · Danh mục Yêu cầu'!$F:$F,"Bắt buộc")</f>
        <v>0</v>
      </c>
      <c r="C19" s="18">
        <f>COUNTIFS('01 · Danh mục Yêu cầu'!$G:$G,"Ngoài phạm vi đợt này",'01 · Danh mục Yêu cầu'!$F:$F,"Nên có")</f>
        <v>0</v>
      </c>
      <c r="D19" s="18">
        <f>COUNTIFS('01 · Danh mục Yêu cầu'!$G:$G,"Ngoài phạm vi đợt này",'01 · Danh mục Yêu cầu'!$F:$F,"Có thì tốt")</f>
        <v>0</v>
      </c>
      <c r="E19" s="18">
        <f>COUNTIFS('01 · Danh mục Yêu cầu'!$G:$G,"Ngoài phạm vi đợt này",'01 · Danh mục Yêu cầu'!$F:$F,"Đợt sau")</f>
        <v>0</v>
      </c>
      <c r="F19" s="19">
        <f>SUM(B19:E19)</f>
        <v>0</v>
      </c>
    </row>
    <row r="21" spans="1:6" ht="34.9">
      <c r="A21" s="17" t="s">
        <v>87</v>
      </c>
    </row>
    <row r="23" spans="1:6" ht="30" customHeight="1">
      <c r="A23" s="12" t="s">
        <v>88</v>
      </c>
      <c r="B23" s="12" t="s">
        <v>89</v>
      </c>
    </row>
    <row r="24" spans="1:6">
      <c r="A24" s="6" t="s">
        <v>90</v>
      </c>
      <c r="B24" s="18">
        <f>COUNTIF('01 · Danh mục Yêu cầu'!$J:$J,"Đồng ý")</f>
        <v>0</v>
      </c>
    </row>
    <row r="25" spans="1:6">
      <c r="A25" s="6" t="s">
        <v>91</v>
      </c>
      <c r="B25" s="18">
        <f>COUNTIF('01 · Danh mục Yêu cầu'!$J:$J,"Cần trao đổi")</f>
        <v>0</v>
      </c>
    </row>
    <row r="26" spans="1:6">
      <c r="A26" s="6" t="s">
        <v>92</v>
      </c>
      <c r="B26" s="18">
        <f>COUNTIF('01 · Danh mục Yêu cầu'!$J:$J,"Không đồng ý")</f>
        <v>0</v>
      </c>
    </row>
    <row r="27" spans="1:6">
      <c r="A27" s="6" t="s">
        <v>93</v>
      </c>
      <c r="B27" s="18">
        <f>COUNTIF('01 · Danh mục Yêu cầu'!$J:$J,"Bỏ khỏi phạm vi")</f>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
  <sheetViews>
    <sheetView showGridLines="0" workbookViewId="0">
      <pane ySplit="1" topLeftCell="A2" activePane="bottomLeft" state="frozen"/>
      <selection pane="bottomLeft"/>
    </sheetView>
  </sheetViews>
  <sheetFormatPr defaultRowHeight="14.25"/>
  <cols>
    <col min="1" max="1" width="11" customWidth="1"/>
    <col min="2" max="2" width="34" customWidth="1"/>
    <col min="3" max="3" width="24" customWidth="1"/>
    <col min="4" max="4" width="44" customWidth="1"/>
    <col min="5" max="5" width="40" customWidth="1"/>
    <col min="6" max="6" width="32" customWidth="1"/>
  </cols>
  <sheetData>
    <row r="1" spans="1:6" ht="30" customHeight="1">
      <c r="A1" s="12" t="s">
        <v>36</v>
      </c>
      <c r="B1" s="12" t="s">
        <v>94</v>
      </c>
      <c r="C1" s="12" t="s">
        <v>42</v>
      </c>
      <c r="D1" s="12" t="s">
        <v>43</v>
      </c>
      <c r="E1" s="12" t="s">
        <v>95</v>
      </c>
      <c r="F1" s="12" t="s">
        <v>44</v>
      </c>
    </row>
    <row r="2" spans="1:6" ht="46.05" customHeight="1">
      <c r="A2" s="6" t="s">
        <v>65</v>
      </c>
      <c r="B2" s="7" t="s">
        <v>67</v>
      </c>
      <c r="C2" s="14" t="s">
        <v>28</v>
      </c>
      <c r="D2" s="7" t="s">
        <v>70</v>
      </c>
      <c r="E2" s="7"/>
      <c r="F2" s="7"/>
    </row>
    <row r="3" spans="1:6" ht="46.05" customHeight="1">
      <c r="A3" s="6" t="s">
        <v>71</v>
      </c>
      <c r="B3" s="7" t="s">
        <v>73</v>
      </c>
      <c r="C3" s="15" t="s">
        <v>32</v>
      </c>
      <c r="D3" s="7" t="s">
        <v>76</v>
      </c>
      <c r="E3" s="7"/>
      <c r="F3" s="7"/>
    </row>
    <row r="4" spans="1:6" ht="46.05" customHeight="1">
      <c r="A4" s="6" t="s">
        <v>77</v>
      </c>
      <c r="B4" s="7" t="s">
        <v>79</v>
      </c>
      <c r="C4" s="15" t="s">
        <v>32</v>
      </c>
      <c r="D4" s="7" t="s">
        <v>82</v>
      </c>
      <c r="E4" s="7"/>
      <c r="F4" s="7"/>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8"/>
  <sheetViews>
    <sheetView showGridLines="0" tabSelected="1" workbookViewId="0">
      <pane ySplit="5" topLeftCell="A6" activePane="bottomLeft" state="frozen"/>
      <selection pane="bottomLeft" activeCell="B16" sqref="B16"/>
    </sheetView>
  </sheetViews>
  <sheetFormatPr defaultRowHeight="14.25"/>
  <cols>
    <col min="1" max="1" width="20" customWidth="1"/>
    <col min="2" max="2" width="24" customWidth="1"/>
    <col min="3" max="3" width="40" customWidth="1"/>
    <col min="4" max="4" width="24" customWidth="1"/>
    <col min="5" max="5" width="30" customWidth="1"/>
    <col min="6" max="6" width="16" customWidth="1"/>
    <col min="7" max="7" width="14" customWidth="1"/>
    <col min="8" max="8" width="16" customWidth="1"/>
  </cols>
  <sheetData>
    <row r="1" spans="1:8" ht="16.899999999999999">
      <c r="A1" s="22" t="s">
        <v>96</v>
      </c>
    </row>
    <row r="2" spans="1:8">
      <c r="A2" s="23" t="s">
        <v>97</v>
      </c>
    </row>
    <row r="3" spans="1:8">
      <c r="A3" s="23" t="s">
        <v>98</v>
      </c>
    </row>
    <row r="5" spans="1:8" ht="30" customHeight="1">
      <c r="A5" s="12" t="s">
        <v>99</v>
      </c>
      <c r="B5" s="12" t="s">
        <v>100</v>
      </c>
      <c r="C5" s="12" t="s">
        <v>101</v>
      </c>
      <c r="D5" s="12" t="s">
        <v>102</v>
      </c>
      <c r="E5" s="12" t="s">
        <v>103</v>
      </c>
      <c r="F5" s="12" t="s">
        <v>104</v>
      </c>
      <c r="G5" s="12" t="s">
        <v>105</v>
      </c>
      <c r="H5" s="12" t="s">
        <v>106</v>
      </c>
    </row>
    <row r="6" spans="1:8">
      <c r="A6" s="7" t="s">
        <v>107</v>
      </c>
      <c r="B6" s="7" t="s">
        <v>108</v>
      </c>
      <c r="C6" s="7" t="s">
        <v>109</v>
      </c>
      <c r="D6" s="7" t="s">
        <v>110</v>
      </c>
      <c r="E6" s="7" t="s">
        <v>111</v>
      </c>
      <c r="F6" s="7" t="s">
        <v>112</v>
      </c>
      <c r="G6" s="7" t="s">
        <v>113</v>
      </c>
      <c r="H6" s="7" t="s">
        <v>114</v>
      </c>
    </row>
    <row r="7" spans="1:8">
      <c r="A7" s="7" t="s">
        <v>107</v>
      </c>
      <c r="B7" s="7" t="s">
        <v>115</v>
      </c>
      <c r="C7" s="7" t="s">
        <v>116</v>
      </c>
      <c r="D7" s="7" t="s">
        <v>110</v>
      </c>
      <c r="E7" s="7" t="s">
        <v>117</v>
      </c>
      <c r="F7" s="7" t="s">
        <v>118</v>
      </c>
      <c r="G7" s="7" t="s">
        <v>113</v>
      </c>
      <c r="H7" s="7" t="s">
        <v>114</v>
      </c>
    </row>
    <row r="8" spans="1:8">
      <c r="A8" s="7" t="s">
        <v>119</v>
      </c>
      <c r="B8" s="7" t="s">
        <v>120</v>
      </c>
      <c r="C8" s="7" t="s">
        <v>121</v>
      </c>
      <c r="D8" s="7" t="s">
        <v>122</v>
      </c>
      <c r="E8" s="7" t="s">
        <v>123</v>
      </c>
      <c r="F8" s="7" t="s">
        <v>124</v>
      </c>
      <c r="G8" s="7" t="s">
        <v>125</v>
      </c>
      <c r="H8" s="7" t="s">
        <v>114</v>
      </c>
    </row>
    <row r="9" spans="1:8">
      <c r="A9" s="7"/>
      <c r="B9" s="7"/>
      <c r="C9" s="7"/>
      <c r="D9" s="7"/>
      <c r="E9" s="7"/>
      <c r="F9" s="7"/>
      <c r="G9" s="7"/>
      <c r="H9" s="7"/>
    </row>
    <row r="10" spans="1:8">
      <c r="A10" s="7"/>
      <c r="B10" s="7"/>
      <c r="C10" s="7"/>
      <c r="D10" s="7"/>
      <c r="E10" s="7"/>
      <c r="F10" s="7"/>
      <c r="G10" s="7"/>
      <c r="H10" s="7"/>
    </row>
    <row r="11" spans="1:8">
      <c r="A11" s="7"/>
      <c r="B11" s="7"/>
      <c r="C11" s="7"/>
      <c r="D11" s="7"/>
      <c r="E11" s="7"/>
      <c r="F11" s="7"/>
      <c r="G11" s="7"/>
      <c r="H11" s="7"/>
    </row>
    <row r="12" spans="1:8">
      <c r="A12" s="7"/>
      <c r="B12" s="7"/>
      <c r="C12" s="7"/>
      <c r="D12" s="7"/>
      <c r="E12" s="7"/>
      <c r="F12" s="7"/>
      <c r="G12" s="7"/>
      <c r="H12" s="7"/>
    </row>
    <row r="13" spans="1:8">
      <c r="A13" s="7"/>
      <c r="B13" s="7"/>
      <c r="C13" s="7"/>
      <c r="D13" s="7"/>
      <c r="E13" s="7"/>
      <c r="F13" s="7"/>
      <c r="G13" s="7"/>
      <c r="H13" s="7"/>
    </row>
    <row r="14" spans="1:8">
      <c r="A14" s="7"/>
      <c r="B14" s="7"/>
      <c r="C14" s="7"/>
      <c r="D14" s="7"/>
      <c r="E14" s="7"/>
      <c r="F14" s="7"/>
      <c r="G14" s="7"/>
      <c r="H14" s="7"/>
    </row>
    <row r="15" spans="1:8">
      <c r="A15" s="7"/>
      <c r="B15" s="7"/>
      <c r="C15" s="7"/>
      <c r="D15" s="7"/>
      <c r="E15" s="7"/>
      <c r="F15" s="7"/>
      <c r="G15" s="7"/>
      <c r="H15" s="7"/>
    </row>
    <row r="16" spans="1:8">
      <c r="A16" s="7"/>
      <c r="B16" s="7"/>
      <c r="C16" s="7"/>
      <c r="D16" s="7"/>
      <c r="E16" s="7"/>
      <c r="F16" s="7"/>
      <c r="G16" s="7"/>
      <c r="H16" s="7"/>
    </row>
    <row r="17" spans="1:8">
      <c r="A17" s="7"/>
      <c r="B17" s="7"/>
      <c r="C17" s="7"/>
      <c r="D17" s="7"/>
      <c r="E17" s="7"/>
      <c r="F17" s="7"/>
      <c r="G17" s="7"/>
      <c r="H17" s="7"/>
    </row>
    <row r="18" spans="1:8">
      <c r="A18" s="7"/>
      <c r="B18" s="7"/>
      <c r="C18" s="7"/>
      <c r="D18" s="7"/>
      <c r="E18" s="7"/>
      <c r="F18" s="7"/>
      <c r="G18" s="7"/>
      <c r="H18" s="7"/>
    </row>
    <row r="19" spans="1:8">
      <c r="A19" s="7"/>
      <c r="B19" s="7"/>
      <c r="C19" s="7"/>
      <c r="D19" s="7"/>
      <c r="E19" s="7"/>
      <c r="F19" s="7"/>
      <c r="G19" s="7"/>
      <c r="H19" s="7"/>
    </row>
    <row r="20" spans="1:8">
      <c r="A20" s="7"/>
      <c r="B20" s="7"/>
      <c r="C20" s="7"/>
      <c r="D20" s="7"/>
      <c r="E20" s="7"/>
      <c r="F20" s="7"/>
      <c r="G20" s="7"/>
      <c r="H20" s="7"/>
    </row>
    <row r="21" spans="1:8">
      <c r="A21" s="7"/>
      <c r="B21" s="7"/>
      <c r="C21" s="7"/>
      <c r="D21" s="7"/>
      <c r="E21" s="7"/>
      <c r="F21" s="7"/>
      <c r="G21" s="7"/>
      <c r="H21" s="7"/>
    </row>
    <row r="22" spans="1:8">
      <c r="A22" s="7"/>
      <c r="B22" s="7"/>
      <c r="C22" s="7"/>
      <c r="D22" s="7"/>
      <c r="E22" s="7"/>
      <c r="F22" s="7"/>
      <c r="G22" s="7"/>
      <c r="H22" s="7"/>
    </row>
    <row r="23" spans="1:8">
      <c r="A23" s="7"/>
      <c r="B23" s="7"/>
      <c r="C23" s="7"/>
      <c r="D23" s="7"/>
      <c r="E23" s="7"/>
      <c r="F23" s="7"/>
      <c r="G23" s="7"/>
      <c r="H23" s="7"/>
    </row>
    <row r="24" spans="1:8">
      <c r="A24" s="7"/>
      <c r="B24" s="7"/>
      <c r="C24" s="7"/>
      <c r="D24" s="7"/>
      <c r="E24" s="7"/>
      <c r="F24" s="7"/>
      <c r="G24" s="7"/>
      <c r="H24" s="7"/>
    </row>
    <row r="25" spans="1:8">
      <c r="A25" s="7"/>
      <c r="B25" s="7"/>
      <c r="C25" s="7"/>
      <c r="D25" s="7"/>
      <c r="E25" s="7"/>
      <c r="F25" s="7"/>
      <c r="G25" s="7"/>
      <c r="H25" s="7"/>
    </row>
    <row r="26" spans="1:8">
      <c r="A26" s="7"/>
      <c r="B26" s="7"/>
      <c r="C26" s="7"/>
      <c r="D26" s="7"/>
      <c r="E26" s="7"/>
      <c r="F26" s="7"/>
      <c r="G26" s="7"/>
      <c r="H26" s="7"/>
    </row>
    <row r="27" spans="1:8">
      <c r="A27" s="7"/>
      <c r="B27" s="7"/>
      <c r="C27" s="7"/>
      <c r="D27" s="7"/>
      <c r="E27" s="7"/>
      <c r="F27" s="7"/>
      <c r="G27" s="7"/>
      <c r="H27" s="7"/>
    </row>
    <row r="28" spans="1:8">
      <c r="A28" s="7"/>
      <c r="B28" s="7"/>
      <c r="C28" s="7"/>
      <c r="D28" s="7"/>
      <c r="E28" s="7"/>
      <c r="F28" s="7"/>
      <c r="G28" s="7"/>
      <c r="H28" s="7"/>
    </row>
    <row r="29" spans="1:8">
      <c r="A29" s="7"/>
      <c r="B29" s="7"/>
      <c r="C29" s="7"/>
      <c r="D29" s="7"/>
      <c r="E29" s="7"/>
      <c r="F29" s="7"/>
      <c r="G29" s="7"/>
      <c r="H29" s="7"/>
    </row>
    <row r="30" spans="1:8">
      <c r="A30" s="7"/>
      <c r="B30" s="7"/>
      <c r="C30" s="7"/>
      <c r="D30" s="7"/>
      <c r="E30" s="7"/>
      <c r="F30" s="7"/>
      <c r="G30" s="7"/>
      <c r="H30" s="7"/>
    </row>
    <row r="31" spans="1:8">
      <c r="A31" s="7"/>
      <c r="B31" s="7"/>
      <c r="C31" s="7"/>
      <c r="D31" s="7"/>
      <c r="E31" s="7"/>
      <c r="F31" s="7"/>
      <c r="G31" s="7"/>
      <c r="H31" s="7"/>
    </row>
    <row r="32" spans="1:8">
      <c r="A32" s="7"/>
      <c r="B32" s="7"/>
      <c r="C32" s="7"/>
      <c r="D32" s="7"/>
      <c r="E32" s="7"/>
      <c r="F32" s="7"/>
      <c r="G32" s="7"/>
      <c r="H32" s="7"/>
    </row>
    <row r="33" spans="1:8">
      <c r="A33" s="7"/>
      <c r="B33" s="7"/>
      <c r="C33" s="7"/>
      <c r="D33" s="7"/>
      <c r="E33" s="7"/>
      <c r="F33" s="7"/>
      <c r="G33" s="7"/>
      <c r="H33" s="7"/>
    </row>
    <row r="34" spans="1:8">
      <c r="A34" s="7"/>
      <c r="B34" s="7"/>
      <c r="C34" s="7"/>
      <c r="D34" s="7"/>
      <c r="E34" s="7"/>
      <c r="F34" s="7"/>
      <c r="G34" s="7"/>
      <c r="H34" s="7"/>
    </row>
    <row r="35" spans="1:8">
      <c r="A35" s="7"/>
      <c r="B35" s="7"/>
      <c r="C35" s="7"/>
      <c r="D35" s="7"/>
      <c r="E35" s="7"/>
      <c r="F35" s="7"/>
      <c r="G35" s="7"/>
      <c r="H35" s="7"/>
    </row>
    <row r="36" spans="1:8">
      <c r="A36" s="7"/>
      <c r="B36" s="7"/>
      <c r="C36" s="7"/>
      <c r="D36" s="7"/>
      <c r="E36" s="7"/>
      <c r="F36" s="7"/>
      <c r="G36" s="7"/>
      <c r="H36" s="7"/>
    </row>
    <row r="37" spans="1:8">
      <c r="A37" s="7"/>
      <c r="B37" s="7"/>
      <c r="C37" s="7"/>
      <c r="D37" s="7"/>
      <c r="E37" s="7"/>
      <c r="F37" s="7"/>
      <c r="G37" s="7"/>
      <c r="H37" s="7"/>
    </row>
    <row r="38" spans="1:8">
      <c r="A38" s="7"/>
      <c r="B38" s="7"/>
      <c r="C38" s="7"/>
      <c r="D38" s="7"/>
      <c r="E38" s="7"/>
      <c r="F38" s="7"/>
      <c r="G38" s="7"/>
      <c r="H38" s="7"/>
    </row>
    <row r="39" spans="1:8">
      <c r="A39" s="7"/>
      <c r="B39" s="7"/>
      <c r="C39" s="7"/>
      <c r="D39" s="7"/>
      <c r="E39" s="7"/>
      <c r="F39" s="7"/>
      <c r="G39" s="7"/>
      <c r="H39" s="7"/>
    </row>
    <row r="40" spans="1:8">
      <c r="A40" s="7"/>
      <c r="B40" s="7"/>
      <c r="C40" s="7"/>
      <c r="D40" s="7"/>
      <c r="E40" s="7"/>
      <c r="F40" s="7"/>
      <c r="G40" s="7"/>
      <c r="H40" s="7"/>
    </row>
    <row r="41" spans="1:8">
      <c r="A41" s="7"/>
      <c r="B41" s="7"/>
      <c r="C41" s="7"/>
      <c r="D41" s="7"/>
      <c r="E41" s="7"/>
      <c r="F41" s="7"/>
      <c r="G41" s="7"/>
      <c r="H41" s="7"/>
    </row>
    <row r="42" spans="1:8">
      <c r="A42" s="7"/>
      <c r="B42" s="7"/>
      <c r="C42" s="7"/>
      <c r="D42" s="7"/>
      <c r="E42" s="7"/>
      <c r="F42" s="7"/>
      <c r="G42" s="7"/>
      <c r="H42" s="7"/>
    </row>
    <row r="43" spans="1:8">
      <c r="A43" s="7"/>
      <c r="B43" s="7"/>
      <c r="C43" s="7"/>
      <c r="D43" s="7"/>
      <c r="E43" s="7"/>
      <c r="F43" s="7"/>
      <c r="G43" s="7"/>
      <c r="H43" s="7"/>
    </row>
    <row r="44" spans="1:8">
      <c r="A44" s="7"/>
      <c r="B44" s="7"/>
      <c r="C44" s="7"/>
      <c r="D44" s="7"/>
      <c r="E44" s="7"/>
      <c r="F44" s="7"/>
      <c r="G44" s="7"/>
      <c r="H44" s="7"/>
    </row>
    <row r="45" spans="1:8">
      <c r="A45" s="7"/>
      <c r="B45" s="7"/>
      <c r="C45" s="7"/>
      <c r="D45" s="7"/>
      <c r="E45" s="7"/>
      <c r="F45" s="7"/>
      <c r="G45" s="7"/>
      <c r="H45" s="7"/>
    </row>
    <row r="46" spans="1:8">
      <c r="A46" s="7"/>
      <c r="B46" s="7"/>
      <c r="C46" s="7"/>
      <c r="D46" s="7"/>
      <c r="E46" s="7"/>
      <c r="F46" s="7"/>
      <c r="G46" s="7"/>
      <c r="H46" s="7"/>
    </row>
    <row r="47" spans="1:8">
      <c r="A47" s="7"/>
      <c r="B47" s="7"/>
      <c r="C47" s="7"/>
      <c r="D47" s="7"/>
      <c r="E47" s="7"/>
      <c r="F47" s="7"/>
      <c r="G47" s="7"/>
      <c r="H47" s="7"/>
    </row>
    <row r="48" spans="1:8">
      <c r="A48" s="7"/>
      <c r="B48" s="7"/>
      <c r="C48" s="7"/>
      <c r="D48" s="7"/>
      <c r="E48" s="7"/>
      <c r="F48" s="7"/>
      <c r="G48" s="7"/>
      <c r="H48" s="7"/>
    </row>
  </sheetData>
  <autoFilter ref="A5:H48" xr:uid="{00000000-0009-0000-0000-000004000000}"/>
  <dataValidations count="1">
    <dataValidation type="list" allowBlank="1" sqref="H6:H48" xr:uid="{00000000-0002-0000-0400-000000000000}">
      <formula1>"Đề xuất,Đang dùng,Cần sửa,Ngừng dùng"</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8"/>
  <sheetViews>
    <sheetView showGridLines="0" workbookViewId="0">
      <pane ySplit="1" topLeftCell="A2" activePane="bottomLeft" state="frozen"/>
      <selection pane="bottomLeft"/>
    </sheetView>
  </sheetViews>
  <sheetFormatPr defaultRowHeight="14.25"/>
  <cols>
    <col min="1" max="2" width="26" customWidth="1"/>
    <col min="3" max="3" width="34" customWidth="1"/>
    <col min="4" max="4" width="16" customWidth="1"/>
    <col min="5" max="5" width="20" customWidth="1"/>
    <col min="6" max="6" width="26" customWidth="1"/>
    <col min="7" max="7" width="28" customWidth="1"/>
  </cols>
  <sheetData>
    <row r="1" spans="1:7" ht="30" customHeight="1">
      <c r="A1" s="12" t="s">
        <v>126</v>
      </c>
      <c r="B1" s="12" t="s">
        <v>127</v>
      </c>
      <c r="C1" s="12" t="s">
        <v>128</v>
      </c>
      <c r="D1" s="12" t="s">
        <v>129</v>
      </c>
      <c r="E1" s="12" t="s">
        <v>130</v>
      </c>
      <c r="F1" s="12" t="s">
        <v>131</v>
      </c>
      <c r="G1" s="12" t="s">
        <v>132</v>
      </c>
    </row>
    <row r="2" spans="1:7">
      <c r="A2" s="7" t="s">
        <v>133</v>
      </c>
      <c r="B2" s="7" t="s">
        <v>134</v>
      </c>
      <c r="C2" s="7" t="s">
        <v>135</v>
      </c>
      <c r="D2" s="7" t="s">
        <v>136</v>
      </c>
      <c r="E2" s="7" t="s">
        <v>113</v>
      </c>
      <c r="F2" s="7" t="s">
        <v>137</v>
      </c>
      <c r="G2" s="7"/>
    </row>
    <row r="3" spans="1:7" ht="25.5">
      <c r="A3" s="7" t="s">
        <v>138</v>
      </c>
      <c r="B3" s="7" t="s">
        <v>139</v>
      </c>
      <c r="C3" s="7" t="s">
        <v>140</v>
      </c>
      <c r="D3" s="7" t="s">
        <v>141</v>
      </c>
      <c r="E3" s="7" t="s">
        <v>113</v>
      </c>
      <c r="F3" s="7" t="s">
        <v>142</v>
      </c>
      <c r="G3" s="7"/>
    </row>
    <row r="4" spans="1:7">
      <c r="A4" s="7"/>
      <c r="B4" s="7"/>
      <c r="C4" s="7"/>
      <c r="D4" s="7"/>
      <c r="E4" s="7"/>
      <c r="F4" s="7"/>
      <c r="G4" s="7"/>
    </row>
    <row r="5" spans="1:7">
      <c r="A5" s="7"/>
      <c r="B5" s="7"/>
      <c r="C5" s="7"/>
      <c r="D5" s="7"/>
      <c r="E5" s="7"/>
      <c r="F5" s="7"/>
      <c r="G5" s="7"/>
    </row>
    <row r="6" spans="1:7">
      <c r="A6" s="7"/>
      <c r="B6" s="7"/>
      <c r="C6" s="7"/>
      <c r="D6" s="7"/>
      <c r="E6" s="7"/>
      <c r="F6" s="7"/>
      <c r="G6" s="7"/>
    </row>
    <row r="7" spans="1:7">
      <c r="A7" s="7"/>
      <c r="B7" s="7"/>
      <c r="C7" s="7"/>
      <c r="D7" s="7"/>
      <c r="E7" s="7"/>
      <c r="F7" s="7"/>
      <c r="G7" s="7"/>
    </row>
    <row r="8" spans="1:7">
      <c r="A8" s="7"/>
      <c r="B8" s="7"/>
      <c r="C8" s="7"/>
      <c r="D8" s="7"/>
      <c r="E8" s="7"/>
      <c r="F8" s="7"/>
      <c r="G8" s="7"/>
    </row>
    <row r="9" spans="1:7">
      <c r="A9" s="7"/>
      <c r="B9" s="7"/>
      <c r="C9" s="7"/>
      <c r="D9" s="7"/>
      <c r="E9" s="7"/>
      <c r="F9" s="7"/>
      <c r="G9" s="7"/>
    </row>
    <row r="10" spans="1:7">
      <c r="A10" s="7"/>
      <c r="B10" s="7"/>
      <c r="C10" s="7"/>
      <c r="D10" s="7"/>
      <c r="E10" s="7"/>
      <c r="F10" s="7"/>
      <c r="G10" s="7"/>
    </row>
    <row r="11" spans="1:7">
      <c r="A11" s="7"/>
      <c r="B11" s="7"/>
      <c r="C11" s="7"/>
      <c r="D11" s="7"/>
      <c r="E11" s="7"/>
      <c r="F11" s="7"/>
      <c r="G11" s="7"/>
    </row>
    <row r="12" spans="1:7">
      <c r="A12" s="7"/>
      <c r="B12" s="7"/>
      <c r="C12" s="7"/>
      <c r="D12" s="7"/>
      <c r="E12" s="7"/>
      <c r="F12" s="7"/>
      <c r="G12" s="7"/>
    </row>
    <row r="13" spans="1:7">
      <c r="A13" s="7"/>
      <c r="B13" s="7"/>
      <c r="C13" s="7"/>
      <c r="D13" s="7"/>
      <c r="E13" s="7"/>
      <c r="F13" s="7"/>
      <c r="G13" s="7"/>
    </row>
    <row r="14" spans="1:7">
      <c r="A14" s="7"/>
      <c r="B14" s="7"/>
      <c r="C14" s="7"/>
      <c r="D14" s="7"/>
      <c r="E14" s="7"/>
      <c r="F14" s="7"/>
      <c r="G14" s="7"/>
    </row>
    <row r="15" spans="1:7">
      <c r="A15" s="7"/>
      <c r="B15" s="7"/>
      <c r="C15" s="7"/>
      <c r="D15" s="7"/>
      <c r="E15" s="7"/>
      <c r="F15" s="7"/>
      <c r="G15" s="7"/>
    </row>
    <row r="16" spans="1:7">
      <c r="A16" s="7"/>
      <c r="B16" s="7"/>
      <c r="C16" s="7"/>
      <c r="D16" s="7"/>
      <c r="E16" s="7"/>
      <c r="F16" s="7"/>
      <c r="G16" s="7"/>
    </row>
    <row r="17" spans="1:7">
      <c r="A17" s="7"/>
      <c r="B17" s="7"/>
      <c r="C17" s="7"/>
      <c r="D17" s="7"/>
      <c r="E17" s="7"/>
      <c r="F17" s="7"/>
      <c r="G17" s="7"/>
    </row>
    <row r="18" spans="1:7">
      <c r="A18" s="7"/>
      <c r="B18" s="7"/>
      <c r="C18" s="7"/>
      <c r="D18" s="7"/>
      <c r="E18" s="7"/>
      <c r="F18" s="7"/>
      <c r="G18" s="7"/>
    </row>
  </sheetData>
  <dataValidations count="1">
    <dataValidation type="list" allowBlank="1" sqref="D2:D18" xr:uid="{00000000-0002-0000-0500-000000000000}">
      <formula1>"Có,Không,Chưa rõ"</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
  <sheetViews>
    <sheetView showGridLines="0" workbookViewId="0">
      <pane ySplit="1" topLeftCell="A2" activePane="bottomLeft" state="frozen"/>
      <selection pane="bottomLeft"/>
    </sheetView>
  </sheetViews>
  <sheetFormatPr defaultRowHeight="14.25"/>
  <cols>
    <col min="1" max="1" width="6" customWidth="1"/>
    <col min="2" max="2" width="56" customWidth="1"/>
    <col min="3" max="3" width="24" customWidth="1"/>
    <col min="4" max="4" width="18" customWidth="1"/>
    <col min="5" max="5" width="16" customWidth="1"/>
    <col min="6" max="6" width="56" customWidth="1"/>
  </cols>
  <sheetData>
    <row r="1" spans="1:6" ht="30" customHeight="1">
      <c r="A1" s="12" t="s">
        <v>143</v>
      </c>
      <c r="B1" s="12" t="s">
        <v>144</v>
      </c>
      <c r="C1" s="12" t="s">
        <v>145</v>
      </c>
      <c r="D1" s="12" t="s">
        <v>146</v>
      </c>
      <c r="E1" s="12" t="s">
        <v>147</v>
      </c>
      <c r="F1" s="12" t="s">
        <v>148</v>
      </c>
    </row>
    <row r="2" spans="1:6" ht="44" customHeight="1">
      <c r="A2" s="7">
        <v>1</v>
      </c>
      <c r="B2" s="7" t="s">
        <v>149</v>
      </c>
      <c r="C2" s="7" t="s">
        <v>139</v>
      </c>
      <c r="D2" s="7" t="s">
        <v>150</v>
      </c>
      <c r="E2" s="7" t="s">
        <v>151</v>
      </c>
      <c r="F2" s="21"/>
    </row>
    <row r="3" spans="1:6" ht="44" customHeight="1">
      <c r="A3" s="7">
        <v>2</v>
      </c>
      <c r="B3" s="7" t="s">
        <v>152</v>
      </c>
      <c r="C3" s="7" t="s">
        <v>153</v>
      </c>
      <c r="D3" s="7" t="s">
        <v>150</v>
      </c>
      <c r="E3" s="7" t="s">
        <v>154</v>
      </c>
      <c r="F3" s="21"/>
    </row>
  </sheetData>
  <pageMargins left="0.75" right="0.75" top="1" bottom="1" header="0.5" footer="0.5"/>
</worksheet>
</file>

<file path=docMetadata/LabelInfo.xml><?xml version="1.0" encoding="utf-8"?>
<clbl:labelList xmlns:clbl="http://schemas.microsoft.com/office/2020/mipLabelMetadata">
  <clbl:label id="{defa4170-0d19-0005-0004-bc88714345d2}" enabled="1" method="Standard" siteId="{4c089d30-7a0b-4400-9798-d30aee6c73f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 · Hướng dẫn đọc</vt:lpstr>
      <vt:lpstr>01 · Danh mục Yêu cầu</vt:lpstr>
      <vt:lpstr>02 · Chốt ưu tiên</vt:lpstr>
      <vt:lpstr>03 · Khoảng trống</vt:lpstr>
      <vt:lpstr>04 · Kiến trúc Tác vụ</vt:lpstr>
      <vt:lpstr>05 · Hệ nguồn dữ liệu</vt:lpstr>
      <vt:lpstr>06 · Câu hỏi mở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Tuan Pham</cp:lastModifiedBy>
  <dcterms:created xsi:type="dcterms:W3CDTF">2026-07-28T14:55:02Z</dcterms:created>
  <dcterms:modified xsi:type="dcterms:W3CDTF">2026-07-28T15:02:04Z</dcterms:modified>
</cp:coreProperties>
</file>